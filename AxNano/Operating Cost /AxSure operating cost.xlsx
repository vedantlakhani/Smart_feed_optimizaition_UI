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20"/>
  </bookViews>
  <sheets>
    <sheet name="Operating Costs" sheetId="1" r:id="rId1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<sst xmlns="http://schemas.openxmlformats.org/spreadsheetml/2006/main" count="236" uniqueCount="70">
  <si>
    <t>Scenario 1</t>
  </si>
  <si>
    <t>Scenario 2</t>
  </si>
  <si>
    <t>Scenario 3</t>
  </si>
  <si>
    <t>Scenario 4</t>
  </si>
  <si>
    <t>Scenario 5</t>
  </si>
  <si>
    <t>Scenario 6</t>
  </si>
  <si>
    <t>Description of waste</t>
  </si>
  <si>
    <t>Low BTU, Low Labor</t>
  </si>
  <si>
    <t>High BTU, Low Labor</t>
  </si>
  <si>
    <t>Calculated</t>
  </si>
  <si>
    <t>Btu Content</t>
  </si>
  <si>
    <t>Btu/lb</t>
  </si>
  <si>
    <t>Input from test</t>
  </si>
  <si>
    <t>Waste flow rate</t>
  </si>
  <si>
    <t>gal/min</t>
  </si>
  <si>
    <t>Diesel flow rate</t>
  </si>
  <si>
    <t>Water flow rate</t>
  </si>
  <si>
    <t>Power Consumption</t>
  </si>
  <si>
    <t>KW</t>
  </si>
  <si>
    <t>Basis</t>
  </si>
  <si>
    <t>hr</t>
  </si>
  <si>
    <t>Flow rate of waste</t>
  </si>
  <si>
    <t>L/min</t>
  </si>
  <si>
    <t>Cost of Diesel fuel</t>
  </si>
  <si>
    <t>$/L</t>
  </si>
  <si>
    <t>Cost of Electricity</t>
  </si>
  <si>
    <t>$/kWhr</t>
  </si>
  <si>
    <t>Process DI water flow rate</t>
  </si>
  <si>
    <t>Cost of DI water</t>
  </si>
  <si>
    <t>Caustic flow rate (35%)</t>
  </si>
  <si>
    <t>Caustic (35%)</t>
  </si>
  <si>
    <t>DI Quench Water Flow</t>
  </si>
  <si>
    <t>2.79*</t>
  </si>
  <si>
    <t>Gallon</t>
  </si>
  <si>
    <t>Per Year</t>
  </si>
  <si>
    <t>Liters waste processed in 1 hr</t>
  </si>
  <si>
    <t>Liters</t>
  </si>
  <si>
    <t xml:space="preserve">&lt;---wastefeed going in </t>
  </si>
  <si>
    <t>Power consumed</t>
  </si>
  <si>
    <t>kWhr</t>
  </si>
  <si>
    <t>Diesel fuel consumed</t>
  </si>
  <si>
    <t>L/hr</t>
  </si>
  <si>
    <t>Water consumed in an hour</t>
  </si>
  <si>
    <t>Caustic consumed</t>
  </si>
  <si>
    <t>Total waste processed in 1hr</t>
  </si>
  <si>
    <t>&lt;-- actual raw waste processed</t>
  </si>
  <si>
    <t>Cost of electricity in 1hr</t>
  </si>
  <si>
    <t>$</t>
  </si>
  <si>
    <t>Cost of fuel in 1hr</t>
  </si>
  <si>
    <t>Cost of caustic in 1hr</t>
  </si>
  <si>
    <t>Cost of softwater in 1hr</t>
  </si>
  <si>
    <t>Total costs in 1hr</t>
  </si>
  <si>
    <t>Cost per liter</t>
  </si>
  <si>
    <t>Cost per ton feed</t>
  </si>
  <si>
    <t>$/MT</t>
  </si>
  <si>
    <t>$/ton</t>
  </si>
  <si>
    <t>Cost per tote (330 gal)</t>
  </si>
  <si>
    <t>$/tote</t>
  </si>
  <si>
    <t>Cost per gallon</t>
  </si>
  <si>
    <t>$/gal</t>
  </si>
  <si>
    <t>Cost of labor in 1 hr</t>
  </si>
  <si>
    <t>COGS</t>
  </si>
  <si>
    <t>Overhead</t>
  </si>
  <si>
    <t>Profit</t>
  </si>
  <si>
    <t>Price to Customer per ton</t>
  </si>
  <si>
    <t>Price Landfill per ton</t>
  </si>
  <si>
    <t>Price Incineration per ton</t>
  </si>
  <si>
    <t>Op Cost</t>
  </si>
  <si>
    <t>Scenario 1 vs Scenario 3</t>
  </si>
  <si>
    <t>Scenario 2 vs Scenario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</si>
</sst>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&quot;$&quot;#,##0.00"/>
  </numFmts>
  <fonts count="21">
    <font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9" applyNumberFormat="0" applyAlignment="0" applyProtection="0">
      <alignment vertical="center"/>
    </xf>
    <xf numFmtId="0" fontId="11" fillId="9" borderId="20" applyNumberFormat="0" applyAlignment="0" applyProtection="0">
      <alignment vertical="center"/>
    </xf>
    <xf numFmtId="0" fontId="12" fillId="9" borderId="19" applyNumberFormat="0" applyAlignment="0" applyProtection="0">
      <alignment vertical="center"/>
    </xf>
    <xf numFmtId="0" fontId="13" fillId="10" borderId="21" applyNumberFormat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1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0" fontId="0" fillId="3" borderId="8" xfId="0" applyNumberFormat="1" applyFill="1" applyBorder="1" applyAlignment="1">
      <alignment horizontal="center"/>
    </xf>
    <xf numFmtId="40" fontId="0" fillId="3" borderId="10" xfId="0" applyNumberFormat="1" applyFill="1" applyBorder="1" applyAlignment="1">
      <alignment horizontal="center"/>
    </xf>
    <xf numFmtId="178" fontId="1" fillId="2" borderId="8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center"/>
    </xf>
    <xf numFmtId="179" fontId="0" fillId="2" borderId="11" xfId="0" applyNumberFormat="1" applyFill="1" applyBorder="1" applyAlignment="1">
      <alignment horizontal="center"/>
    </xf>
    <xf numFmtId="179" fontId="0" fillId="0" borderId="0" xfId="0" applyNumberFormat="1"/>
    <xf numFmtId="9" fontId="0" fillId="0" borderId="0" xfId="3" applyFont="1" applyFill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40" fontId="0" fillId="3" borderId="11" xfId="0" applyNumberForma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8" fontId="0" fillId="2" borderId="11" xfId="0" applyNumberForma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44" fontId="0" fillId="0" borderId="0" xfId="2" applyFont="1" applyFill="1"/>
    <xf numFmtId="44" fontId="0" fillId="0" borderId="0" xfId="2" applyFont="1"/>
    <xf numFmtId="0" fontId="0" fillId="2" borderId="14" xfId="0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0" fillId="3" borderId="0" xfId="0" applyFill="1"/>
    <xf numFmtId="0" fontId="0" fillId="0" borderId="15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kangliu/Desktop/Design%20Climate%20II/AxNano/Operating%20Cost%20/https://ctekconsulting.sharepoint.com/sites/TGPTestSite/Shared%20Documents/Contracts/1009.1%20AF%20Ph%202%20SCWO/Cost%20Model/AxSure%20Cost%20Analysis_2025041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ugust Test Run Parameter"/>
      <sheetName val="Comparison (2)"/>
      <sheetName val="Sheet2"/>
      <sheetName val="Comparison"/>
      <sheetName val="Operating Costs"/>
      <sheetName val="EPA Numbers"/>
      <sheetName val="Graphs"/>
      <sheetName val="For report, switching scenarios"/>
      <sheetName val="Owning SCWO w Depreciation"/>
      <sheetName val="On-Site Setup Cost"/>
      <sheetName val="Depreciation"/>
      <sheetName val="Input - Beale "/>
      <sheetName val="Input - Travis"/>
      <sheetName val="Input - Shaw"/>
      <sheetName val="Input - Biddle"/>
    </sheetNames>
    <sheetDataSet>
      <sheetData sheetId="0">
        <row r="6">
          <cell r="K6">
            <v>20.6</v>
          </cell>
        </row>
        <row r="7">
          <cell r="K7">
            <v>21</v>
          </cell>
        </row>
        <row r="13">
          <cell r="D13">
            <v>1.848</v>
          </cell>
        </row>
        <row r="13">
          <cell r="H13">
            <v>0.4752</v>
          </cell>
        </row>
        <row r="13">
          <cell r="J13">
            <v>0.9768</v>
          </cell>
          <cell r="K13">
            <v>3.9864</v>
          </cell>
        </row>
        <row r="15">
          <cell r="C15">
            <v>1640</v>
          </cell>
          <cell r="D15">
            <v>2.1648</v>
          </cell>
        </row>
        <row r="15">
          <cell r="H15">
            <v>0.1584</v>
          </cell>
        </row>
        <row r="15">
          <cell r="J15">
            <v>0.1584</v>
          </cell>
        </row>
        <row r="16">
          <cell r="C16">
            <v>6320</v>
          </cell>
          <cell r="D16">
            <v>1.848</v>
          </cell>
        </row>
        <row r="16">
          <cell r="J16">
            <v>0.9768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zoomScale="120" zoomScaleNormal="120" topLeftCell="A14" workbookViewId="0">
      <selection activeCell="J19" sqref="J19"/>
    </sheetView>
  </sheetViews>
  <sheetFormatPr defaultColWidth="9" defaultRowHeight="16.8"/>
  <cols>
    <col min="1" max="1" width="26.5735294117647" customWidth="1"/>
    <col min="2" max="7" width="8.85294117647059" customWidth="1"/>
    <col min="8" max="8" width="9" customWidth="1"/>
    <col min="10" max="10" width="12" customWidth="1"/>
    <col min="12" max="12" width="21.5735294117647" customWidth="1"/>
    <col min="14" max="14" width="20.1397058823529" customWidth="1"/>
    <col min="15" max="15" width="14.2867647058824" customWidth="1"/>
    <col min="17" max="17" width="11" customWidth="1"/>
  </cols>
  <sheetData>
    <row r="1" ht="17.55" spans="1:19">
      <c r="A1" s="1"/>
      <c r="B1" s="2" t="s">
        <v>0</v>
      </c>
      <c r="C1" s="3"/>
      <c r="D1" s="4" t="s">
        <v>1</v>
      </c>
      <c r="E1" s="35"/>
      <c r="F1" s="36" t="s">
        <v>2</v>
      </c>
      <c r="G1" s="35"/>
      <c r="H1" s="36" t="s">
        <v>3</v>
      </c>
      <c r="I1" s="35"/>
      <c r="J1" s="36" t="s">
        <v>4</v>
      </c>
      <c r="K1" s="35"/>
      <c r="L1" s="36" t="s">
        <v>5</v>
      </c>
      <c r="M1" s="35"/>
      <c r="N1" s="53"/>
      <c r="O1" s="53"/>
      <c r="P1" s="53"/>
      <c r="Q1" s="53"/>
      <c r="R1" s="53"/>
      <c r="S1" s="53"/>
    </row>
    <row r="2" spans="1:19">
      <c r="A2" s="1" t="s">
        <v>6</v>
      </c>
      <c r="B2" s="5" t="s">
        <v>7</v>
      </c>
      <c r="C2" s="6"/>
      <c r="D2" s="7" t="s">
        <v>8</v>
      </c>
      <c r="E2" s="14"/>
      <c r="F2" s="37"/>
      <c r="G2" s="6"/>
      <c r="H2" s="36"/>
      <c r="I2" s="3"/>
      <c r="J2" s="36"/>
      <c r="K2" s="3"/>
      <c r="L2" s="36"/>
      <c r="M2" s="3"/>
      <c r="N2" s="53"/>
      <c r="O2" s="54" t="s">
        <v>9</v>
      </c>
      <c r="P2" s="53"/>
      <c r="Q2" s="53"/>
      <c r="R2" s="53"/>
      <c r="S2" s="53"/>
    </row>
    <row r="3" spans="1:19">
      <c r="A3" s="1" t="s">
        <v>10</v>
      </c>
      <c r="B3" s="8">
        <v>0</v>
      </c>
      <c r="C3" s="9" t="s">
        <v>11</v>
      </c>
      <c r="D3" s="10">
        <v>1000</v>
      </c>
      <c r="E3" s="29" t="s">
        <v>11</v>
      </c>
      <c r="F3" s="38">
        <v>300</v>
      </c>
      <c r="G3" s="29" t="s">
        <v>11</v>
      </c>
      <c r="H3" s="38">
        <f>'[1]August Test Run Parameter'!C15</f>
        <v>1640</v>
      </c>
      <c r="I3" s="9" t="s">
        <v>11</v>
      </c>
      <c r="J3" s="38">
        <f>'[1]August Test Run Parameter'!C16*0.1</f>
        <v>632</v>
      </c>
      <c r="K3" s="9" t="s">
        <v>11</v>
      </c>
      <c r="L3" s="38">
        <f>'[1]August Test Run Parameter'!C15*0.9+'[1]August Test Run Parameter'!C16*0.1</f>
        <v>2108</v>
      </c>
      <c r="M3" s="9" t="s">
        <v>11</v>
      </c>
      <c r="N3" s="53"/>
      <c r="O3" s="55" t="s">
        <v>12</v>
      </c>
      <c r="P3" s="53"/>
      <c r="Q3" s="53"/>
      <c r="R3" s="53"/>
      <c r="S3" s="53"/>
    </row>
    <row r="4" spans="1:19">
      <c r="A4" s="1" t="s">
        <v>13</v>
      </c>
      <c r="B4" s="11">
        <f>IF(B3&lt;=2200,3*(2200-18530)/(B3-18530),3*2200/B3)</f>
        <v>2.64382083108473</v>
      </c>
      <c r="C4" s="9" t="s">
        <v>14</v>
      </c>
      <c r="D4" s="12">
        <f>IF(D3&lt;=2200,3*(2200-18530)/(D3-18530),3*2200/D3)</f>
        <v>2.79463776383343</v>
      </c>
      <c r="E4" s="29" t="s">
        <v>14</v>
      </c>
      <c r="F4" s="39">
        <f>'[1]August Test Run Parameter'!D13</f>
        <v>1.848</v>
      </c>
      <c r="G4" s="29" t="s">
        <v>14</v>
      </c>
      <c r="H4" s="40">
        <f>'[1]August Test Run Parameter'!D15</f>
        <v>2.1648</v>
      </c>
      <c r="I4" s="9" t="s">
        <v>14</v>
      </c>
      <c r="J4" s="40">
        <f>'[1]August Test Run Parameter'!D16</f>
        <v>1.848</v>
      </c>
      <c r="K4" s="9" t="s">
        <v>14</v>
      </c>
      <c r="L4" s="43">
        <f>IF(L3&lt;=2200,3*(2200-18530)/(L3-18530),3*2200/L3)</f>
        <v>2.98319327731092</v>
      </c>
      <c r="M4" s="9" t="s">
        <v>14</v>
      </c>
      <c r="O4" s="53"/>
      <c r="P4" s="53"/>
      <c r="Q4" s="53"/>
      <c r="R4" s="53"/>
      <c r="S4" s="53"/>
    </row>
    <row r="5" spans="1:19">
      <c r="A5" s="1" t="s">
        <v>15</v>
      </c>
      <c r="B5" s="11">
        <f>IF(B3&lt;=2200,3-B4,0)</f>
        <v>0.356179168915272</v>
      </c>
      <c r="C5" s="9" t="s">
        <v>14</v>
      </c>
      <c r="D5" s="12">
        <f>IF(D3&lt;=2200,3-D4,0)</f>
        <v>0.205362236166572</v>
      </c>
      <c r="E5" s="29" t="s">
        <v>14</v>
      </c>
      <c r="F5" s="39">
        <f>'[1]August Test Run Parameter'!H13</f>
        <v>0.4752</v>
      </c>
      <c r="G5" s="29" t="s">
        <v>14</v>
      </c>
      <c r="H5" s="40">
        <f>'[1]August Test Run Parameter'!H15</f>
        <v>0.1584</v>
      </c>
      <c r="I5" s="9" t="s">
        <v>14</v>
      </c>
      <c r="J5" s="40">
        <f>0</f>
        <v>0</v>
      </c>
      <c r="K5" s="9" t="s">
        <v>14</v>
      </c>
      <c r="L5" s="43">
        <f>IF(L3&lt;=2200,3-L4,0)</f>
        <v>0.0168067226890756</v>
      </c>
      <c r="M5" s="9" t="s">
        <v>14</v>
      </c>
      <c r="N5" s="53"/>
      <c r="O5" s="53"/>
      <c r="P5" s="53"/>
      <c r="Q5" s="53"/>
      <c r="R5" s="53"/>
      <c r="S5" s="53"/>
    </row>
    <row r="6" spans="1:19">
      <c r="A6" s="1" t="s">
        <v>16</v>
      </c>
      <c r="B6" s="11">
        <f>IF(B3&lt;=2200,0,3-B4)</f>
        <v>0</v>
      </c>
      <c r="C6" s="9" t="s">
        <v>14</v>
      </c>
      <c r="D6" s="12">
        <f>IF(D3&lt;=2200,0,3-D4)</f>
        <v>0</v>
      </c>
      <c r="E6" s="29" t="s">
        <v>14</v>
      </c>
      <c r="F6" s="39">
        <f>'[1]August Test Run Parameter'!J13</f>
        <v>0.9768</v>
      </c>
      <c r="G6" s="29" t="s">
        <v>14</v>
      </c>
      <c r="H6" s="40">
        <f>'[1]August Test Run Parameter'!J15</f>
        <v>0.1584</v>
      </c>
      <c r="I6" s="9" t="s">
        <v>14</v>
      </c>
      <c r="J6" s="40">
        <f>'[1]August Test Run Parameter'!J16</f>
        <v>0.9768</v>
      </c>
      <c r="K6" s="9" t="s">
        <v>14</v>
      </c>
      <c r="L6" s="43">
        <f>IF(L3&lt;=2200,0,3-L4)</f>
        <v>0</v>
      </c>
      <c r="M6" s="9" t="s">
        <v>14</v>
      </c>
      <c r="N6" s="53"/>
      <c r="O6" s="53"/>
      <c r="P6" s="53"/>
      <c r="Q6" s="53"/>
      <c r="R6" s="53"/>
      <c r="S6" s="53"/>
    </row>
    <row r="7" spans="1:16">
      <c r="A7" s="1" t="s">
        <v>17</v>
      </c>
      <c r="B7" s="13">
        <v>376</v>
      </c>
      <c r="C7" s="9" t="s">
        <v>18</v>
      </c>
      <c r="D7" s="14">
        <v>376</v>
      </c>
      <c r="E7" s="29" t="s">
        <v>18</v>
      </c>
      <c r="F7" s="41">
        <v>400</v>
      </c>
      <c r="G7" s="29" t="s">
        <v>18</v>
      </c>
      <c r="H7" s="38">
        <v>400</v>
      </c>
      <c r="I7" s="9" t="s">
        <v>18</v>
      </c>
      <c r="J7" s="38">
        <v>400</v>
      </c>
      <c r="K7" s="9" t="s">
        <v>18</v>
      </c>
      <c r="L7" s="38">
        <v>400</v>
      </c>
      <c r="M7" s="9" t="s">
        <v>18</v>
      </c>
      <c r="P7" s="56"/>
    </row>
    <row r="8" spans="1:19">
      <c r="A8" s="15" t="s">
        <v>19</v>
      </c>
      <c r="B8" s="16">
        <v>1</v>
      </c>
      <c r="C8" s="17" t="s">
        <v>20</v>
      </c>
      <c r="D8" s="18">
        <v>1</v>
      </c>
      <c r="E8" s="42" t="s">
        <v>20</v>
      </c>
      <c r="F8" s="42">
        <v>1</v>
      </c>
      <c r="G8" s="42" t="s">
        <v>20</v>
      </c>
      <c r="H8" s="42">
        <v>1</v>
      </c>
      <c r="I8" s="17" t="s">
        <v>20</v>
      </c>
      <c r="J8" s="42">
        <v>1</v>
      </c>
      <c r="K8" s="17" t="s">
        <v>20</v>
      </c>
      <c r="L8" s="42">
        <v>1</v>
      </c>
      <c r="M8" s="17" t="s">
        <v>20</v>
      </c>
      <c r="N8" s="57"/>
      <c r="O8" s="57"/>
      <c r="P8" s="57"/>
      <c r="Q8" s="57"/>
      <c r="R8" s="57"/>
      <c r="S8" s="57"/>
    </row>
    <row r="9" spans="1:13">
      <c r="A9" s="1" t="s">
        <v>21</v>
      </c>
      <c r="B9" s="11">
        <f>B4*3.785</f>
        <v>10.0068618456557</v>
      </c>
      <c r="C9" s="9" t="s">
        <v>22</v>
      </c>
      <c r="D9" s="12">
        <f>D4*3.785</f>
        <v>10.5777039361095</v>
      </c>
      <c r="E9" s="29" t="s">
        <v>22</v>
      </c>
      <c r="F9" s="43">
        <f>F4*3.785</f>
        <v>6.99468</v>
      </c>
      <c r="G9" s="29" t="s">
        <v>22</v>
      </c>
      <c r="H9" s="43">
        <f>H4*3.785</f>
        <v>8.193768</v>
      </c>
      <c r="I9" s="9" t="s">
        <v>22</v>
      </c>
      <c r="J9" s="43">
        <f>J4*3.785</f>
        <v>6.99468</v>
      </c>
      <c r="K9" s="9" t="s">
        <v>22</v>
      </c>
      <c r="L9" s="43">
        <f>L4*3.785</f>
        <v>11.2913865546218</v>
      </c>
      <c r="M9" s="9" t="s">
        <v>22</v>
      </c>
    </row>
    <row r="10" spans="1:13">
      <c r="A10" s="1" t="s">
        <v>23</v>
      </c>
      <c r="B10" s="19">
        <v>1</v>
      </c>
      <c r="C10" s="9" t="s">
        <v>24</v>
      </c>
      <c r="D10" s="20">
        <v>1</v>
      </c>
      <c r="E10" s="29" t="s">
        <v>24</v>
      </c>
      <c r="F10" s="44">
        <f>B10</f>
        <v>1</v>
      </c>
      <c r="G10" s="29" t="s">
        <v>24</v>
      </c>
      <c r="H10" s="44">
        <f>B10</f>
        <v>1</v>
      </c>
      <c r="I10" s="9" t="s">
        <v>24</v>
      </c>
      <c r="J10" s="44">
        <f>D10</f>
        <v>1</v>
      </c>
      <c r="K10" s="9" t="s">
        <v>24</v>
      </c>
      <c r="L10" s="44">
        <f>F10</f>
        <v>1</v>
      </c>
      <c r="M10" s="9" t="s">
        <v>24</v>
      </c>
    </row>
    <row r="11" spans="1:19">
      <c r="A11" s="1" t="s">
        <v>25</v>
      </c>
      <c r="B11" s="8">
        <v>0.12</v>
      </c>
      <c r="C11" s="9" t="s">
        <v>26</v>
      </c>
      <c r="D11" s="10">
        <f>B11</f>
        <v>0.12</v>
      </c>
      <c r="E11" s="29" t="s">
        <v>26</v>
      </c>
      <c r="F11" s="38">
        <v>0.15</v>
      </c>
      <c r="G11" s="29" t="s">
        <v>26</v>
      </c>
      <c r="H11" s="38">
        <f>B11</f>
        <v>0.12</v>
      </c>
      <c r="I11" s="9" t="s">
        <v>26</v>
      </c>
      <c r="J11" s="38">
        <f>D11</f>
        <v>0.12</v>
      </c>
      <c r="K11" s="9" t="s">
        <v>26</v>
      </c>
      <c r="L11" s="38">
        <f>J11</f>
        <v>0.12</v>
      </c>
      <c r="M11" s="9" t="s">
        <v>26</v>
      </c>
      <c r="Q11" s="60">
        <v>2200</v>
      </c>
      <c r="R11" s="61">
        <f>Q11*0.001054/0.453592</f>
        <v>5.11208310552214</v>
      </c>
      <c r="S11" s="61">
        <f>Q11*0.251996/0.453592</f>
        <v>1222.22437785499</v>
      </c>
    </row>
    <row r="12" spans="1:19">
      <c r="A12" s="1" t="s">
        <v>15</v>
      </c>
      <c r="B12" s="21">
        <f>B5*3.785</f>
        <v>1.34813815434431</v>
      </c>
      <c r="C12" s="9" t="s">
        <v>22</v>
      </c>
      <c r="D12" s="14">
        <f>D5*3.785</f>
        <v>0.777296063890474</v>
      </c>
      <c r="E12" s="29" t="s">
        <v>22</v>
      </c>
      <c r="F12" s="45">
        <v>0.3</v>
      </c>
      <c r="G12" s="29" t="s">
        <v>22</v>
      </c>
      <c r="H12" s="29">
        <f>H5*3.785</f>
        <v>0.599544</v>
      </c>
      <c r="I12" s="9" t="s">
        <v>22</v>
      </c>
      <c r="J12" s="29">
        <f>J5*3.785</f>
        <v>0</v>
      </c>
      <c r="K12" s="9" t="s">
        <v>22</v>
      </c>
      <c r="L12" s="29">
        <f>L5*3.785</f>
        <v>0.063613445378151</v>
      </c>
      <c r="M12" s="9" t="s">
        <v>22</v>
      </c>
      <c r="Q12" s="60">
        <v>1000</v>
      </c>
      <c r="R12" s="61">
        <f>Q12*0.001054/0.453592</f>
        <v>2.3236741388737</v>
      </c>
      <c r="S12" s="61">
        <f>Q12*0.251996/0.453592</f>
        <v>555.556535388631</v>
      </c>
    </row>
    <row r="13" spans="1:13">
      <c r="A13" s="1" t="s">
        <v>27</v>
      </c>
      <c r="B13" s="11">
        <f>B6*3.785</f>
        <v>0</v>
      </c>
      <c r="C13" s="9" t="s">
        <v>22</v>
      </c>
      <c r="D13" s="12">
        <f>D6*3.785</f>
        <v>0</v>
      </c>
      <c r="E13" s="29" t="s">
        <v>22</v>
      </c>
      <c r="F13" s="43">
        <f>F6*3.785</f>
        <v>3.697188</v>
      </c>
      <c r="G13" s="29" t="s">
        <v>22</v>
      </c>
      <c r="H13" s="43">
        <f>H6*3.785</f>
        <v>0.599544</v>
      </c>
      <c r="I13" s="9" t="s">
        <v>22</v>
      </c>
      <c r="J13" s="43">
        <f>J6*3.785</f>
        <v>3.697188</v>
      </c>
      <c r="K13" s="9" t="s">
        <v>22</v>
      </c>
      <c r="L13" s="43">
        <f>L6*3.785</f>
        <v>0</v>
      </c>
      <c r="M13" s="9" t="s">
        <v>22</v>
      </c>
    </row>
    <row r="14" spans="1:13">
      <c r="A14" s="1" t="s">
        <v>28</v>
      </c>
      <c r="B14" s="8">
        <v>0.00199</v>
      </c>
      <c r="C14" s="9" t="s">
        <v>24</v>
      </c>
      <c r="D14" s="10">
        <f>B14</f>
        <v>0.00199</v>
      </c>
      <c r="E14" s="29" t="s">
        <v>24</v>
      </c>
      <c r="F14" s="38">
        <f>B14</f>
        <v>0.00199</v>
      </c>
      <c r="G14" s="29" t="s">
        <v>24</v>
      </c>
      <c r="H14" s="38">
        <f>B14</f>
        <v>0.00199</v>
      </c>
      <c r="I14" s="9" t="s">
        <v>24</v>
      </c>
      <c r="J14" s="38">
        <f>D14</f>
        <v>0.00199</v>
      </c>
      <c r="K14" s="9" t="s">
        <v>24</v>
      </c>
      <c r="L14" s="38">
        <f>F14</f>
        <v>0.00199</v>
      </c>
      <c r="M14" s="9" t="s">
        <v>24</v>
      </c>
    </row>
    <row r="15" spans="1:13">
      <c r="A15" s="1" t="s">
        <v>29</v>
      </c>
      <c r="B15" s="13">
        <v>0</v>
      </c>
      <c r="C15" s="9" t="s">
        <v>22</v>
      </c>
      <c r="D15" s="14">
        <v>0</v>
      </c>
      <c r="E15" s="29" t="s">
        <v>22</v>
      </c>
      <c r="F15" s="45">
        <v>0.05</v>
      </c>
      <c r="G15" s="29" t="s">
        <v>22</v>
      </c>
      <c r="H15" s="45">
        <v>0.05</v>
      </c>
      <c r="I15" s="9" t="s">
        <v>22</v>
      </c>
      <c r="J15" s="45">
        <v>0.05</v>
      </c>
      <c r="K15" s="9" t="s">
        <v>22</v>
      </c>
      <c r="L15" s="45">
        <v>0.05</v>
      </c>
      <c r="M15" s="9" t="s">
        <v>22</v>
      </c>
    </row>
    <row r="16" spans="1:13">
      <c r="A16" s="1" t="s">
        <v>30</v>
      </c>
      <c r="B16" s="8">
        <v>1.51</v>
      </c>
      <c r="C16" s="9" t="s">
        <v>24</v>
      </c>
      <c r="D16" s="10">
        <f>$B16</f>
        <v>1.51</v>
      </c>
      <c r="E16" s="29" t="s">
        <v>24</v>
      </c>
      <c r="F16" s="38">
        <f>$B16</f>
        <v>1.51</v>
      </c>
      <c r="G16" s="29" t="s">
        <v>24</v>
      </c>
      <c r="H16" s="38">
        <f>B16</f>
        <v>1.51</v>
      </c>
      <c r="I16" s="9" t="s">
        <v>24</v>
      </c>
      <c r="J16" s="38">
        <f>D16</f>
        <v>1.51</v>
      </c>
      <c r="K16" s="9" t="s">
        <v>24</v>
      </c>
      <c r="L16" s="38">
        <f>F16</f>
        <v>1.51</v>
      </c>
      <c r="M16" s="9" t="s">
        <v>24</v>
      </c>
    </row>
    <row r="17" spans="1:20">
      <c r="A17" s="1" t="s">
        <v>31</v>
      </c>
      <c r="B17" s="8">
        <v>20</v>
      </c>
      <c r="C17" s="9" t="s">
        <v>22</v>
      </c>
      <c r="D17" s="10">
        <v>20</v>
      </c>
      <c r="E17" s="29" t="s">
        <v>22</v>
      </c>
      <c r="F17" s="40">
        <f>'[1]August Test Run Parameter'!K13</f>
        <v>3.9864</v>
      </c>
      <c r="G17" s="29" t="s">
        <v>22</v>
      </c>
      <c r="H17" s="38">
        <f>'[1]August Test Run Parameter'!K6</f>
        <v>20.6</v>
      </c>
      <c r="I17" s="51" t="s">
        <v>22</v>
      </c>
      <c r="J17" s="38">
        <f>'[1]August Test Run Parameter'!K7</f>
        <v>21</v>
      </c>
      <c r="K17" s="51" t="s">
        <v>22</v>
      </c>
      <c r="L17" s="38">
        <f>J17</f>
        <v>21</v>
      </c>
      <c r="M17" s="51" t="s">
        <v>22</v>
      </c>
      <c r="T17" t="s">
        <v>32</v>
      </c>
    </row>
    <row r="18" spans="1:17">
      <c r="A18" s="22"/>
      <c r="B18" s="23"/>
      <c r="C18" s="24"/>
      <c r="D18" s="25"/>
      <c r="E18" s="46"/>
      <c r="F18" s="46"/>
      <c r="G18" s="46"/>
      <c r="H18" s="46"/>
      <c r="I18" s="24"/>
      <c r="J18" s="46"/>
      <c r="K18" s="24"/>
      <c r="L18" s="46"/>
      <c r="M18" s="24"/>
      <c r="P18" t="s">
        <v>33</v>
      </c>
      <c r="Q18" t="s">
        <v>34</v>
      </c>
    </row>
    <row r="19" spans="1:17">
      <c r="A19" s="1" t="s">
        <v>35</v>
      </c>
      <c r="B19" s="13">
        <f>B9*B8*60</f>
        <v>600.411710739342</v>
      </c>
      <c r="C19" s="9" t="s">
        <v>36</v>
      </c>
      <c r="D19" s="14">
        <f>D9*D8*60</f>
        <v>634.662236166572</v>
      </c>
      <c r="E19" s="29" t="s">
        <v>36</v>
      </c>
      <c r="F19" s="29">
        <f>F9*F8*60</f>
        <v>419.6808</v>
      </c>
      <c r="G19" s="29" t="s">
        <v>36</v>
      </c>
      <c r="H19" s="29">
        <f>H9*H8*60</f>
        <v>491.62608</v>
      </c>
      <c r="I19" s="9" t="s">
        <v>36</v>
      </c>
      <c r="J19" s="29">
        <f>J9*J8*60</f>
        <v>419.6808</v>
      </c>
      <c r="K19" s="9" t="s">
        <v>36</v>
      </c>
      <c r="L19" s="29">
        <f>L9*L8*60</f>
        <v>677.483193277311</v>
      </c>
      <c r="M19" s="9" t="s">
        <v>36</v>
      </c>
      <c r="N19" t="s">
        <v>37</v>
      </c>
      <c r="P19">
        <f>H19*0.263</f>
        <v>129.29765904</v>
      </c>
      <c r="Q19">
        <f>P19*24*365*(300/360)</f>
        <v>943872.910992</v>
      </c>
    </row>
    <row r="20" spans="1:13">
      <c r="A20" s="1" t="s">
        <v>38</v>
      </c>
      <c r="B20" s="26">
        <f>B7*B8</f>
        <v>376</v>
      </c>
      <c r="C20" s="9" t="s">
        <v>39</v>
      </c>
      <c r="D20" s="14">
        <f>D7*D8</f>
        <v>376</v>
      </c>
      <c r="E20" s="29" t="s">
        <v>39</v>
      </c>
      <c r="F20" s="29">
        <f>F7*F8</f>
        <v>400</v>
      </c>
      <c r="G20" s="29" t="s">
        <v>39</v>
      </c>
      <c r="H20" s="29">
        <f>H7*H8</f>
        <v>400</v>
      </c>
      <c r="I20" s="9" t="s">
        <v>39</v>
      </c>
      <c r="J20" s="29">
        <f>J7*J8</f>
        <v>400</v>
      </c>
      <c r="K20" s="9" t="s">
        <v>39</v>
      </c>
      <c r="L20" s="29">
        <f>L7*L8</f>
        <v>400</v>
      </c>
      <c r="M20" s="9" t="s">
        <v>39</v>
      </c>
    </row>
    <row r="21" spans="1:13">
      <c r="A21" s="1" t="s">
        <v>40</v>
      </c>
      <c r="B21" s="13">
        <f>B12*B8*60</f>
        <v>80.8882892606584</v>
      </c>
      <c r="C21" s="9" t="s">
        <v>41</v>
      </c>
      <c r="D21" s="14">
        <f>D12*D8*60</f>
        <v>46.6377638334284</v>
      </c>
      <c r="E21" s="29" t="s">
        <v>41</v>
      </c>
      <c r="F21" s="29">
        <f>F12*F8*60</f>
        <v>18</v>
      </c>
      <c r="G21" s="29" t="s">
        <v>41</v>
      </c>
      <c r="H21" s="29">
        <f>H12*H8*60</f>
        <v>35.97264</v>
      </c>
      <c r="I21" s="9" t="s">
        <v>41</v>
      </c>
      <c r="J21" s="29">
        <f>J12*J8*60</f>
        <v>0</v>
      </c>
      <c r="K21" s="9" t="s">
        <v>41</v>
      </c>
      <c r="L21" s="29">
        <f>L12*L8*60</f>
        <v>3.81680672268906</v>
      </c>
      <c r="M21" s="9" t="s">
        <v>41</v>
      </c>
    </row>
    <row r="22" spans="1:13">
      <c r="A22" s="1" t="s">
        <v>42</v>
      </c>
      <c r="B22" s="13">
        <f>(B13+B17)*B8*60</f>
        <v>1200</v>
      </c>
      <c r="C22" s="9" t="s">
        <v>41</v>
      </c>
      <c r="D22" s="14">
        <f>(D13+D17)*D8*60</f>
        <v>1200</v>
      </c>
      <c r="E22" s="29" t="s">
        <v>41</v>
      </c>
      <c r="F22" s="13">
        <f>(F13+F17)*F8*60</f>
        <v>461.01528</v>
      </c>
      <c r="G22" s="29" t="s">
        <v>41</v>
      </c>
      <c r="H22" s="13">
        <f>(H13+H17)*H8*60</f>
        <v>1271.97264</v>
      </c>
      <c r="I22" s="9" t="s">
        <v>41</v>
      </c>
      <c r="J22" s="13">
        <f>(J13+J17)*J8*60</f>
        <v>1481.83128</v>
      </c>
      <c r="K22" s="9" t="s">
        <v>41</v>
      </c>
      <c r="L22" s="13">
        <f>(L13+L17)*L8*60</f>
        <v>1260</v>
      </c>
      <c r="M22" s="9" t="s">
        <v>41</v>
      </c>
    </row>
    <row r="23" spans="1:13">
      <c r="A23" s="22"/>
      <c r="B23" s="23"/>
      <c r="C23" s="24"/>
      <c r="D23" s="25"/>
      <c r="E23" s="46"/>
      <c r="F23" s="46"/>
      <c r="G23" s="46"/>
      <c r="H23" s="46"/>
      <c r="I23" s="24"/>
      <c r="J23" s="46"/>
      <c r="K23" s="24"/>
      <c r="L23" s="46"/>
      <c r="M23" s="24"/>
    </row>
    <row r="24" spans="1:13">
      <c r="A24" s="1" t="s">
        <v>43</v>
      </c>
      <c r="B24" s="27">
        <f>B15*B8*60</f>
        <v>0</v>
      </c>
      <c r="C24" s="9" t="s">
        <v>41</v>
      </c>
      <c r="D24" s="14">
        <f>D15*D8*60</f>
        <v>0</v>
      </c>
      <c r="E24" s="29" t="s">
        <v>41</v>
      </c>
      <c r="F24" s="29">
        <f>F15*F8*60</f>
        <v>3</v>
      </c>
      <c r="G24" s="29" t="s">
        <v>41</v>
      </c>
      <c r="H24" s="29">
        <f>H15*H8*60</f>
        <v>3</v>
      </c>
      <c r="I24" s="9" t="s">
        <v>41</v>
      </c>
      <c r="J24" s="29">
        <f>J15*J8*60</f>
        <v>3</v>
      </c>
      <c r="K24" s="9" t="s">
        <v>41</v>
      </c>
      <c r="L24" s="29">
        <f>L15*L8*60</f>
        <v>3</v>
      </c>
      <c r="M24" s="9" t="s">
        <v>41</v>
      </c>
    </row>
    <row r="25" spans="1:13">
      <c r="A25" s="22"/>
      <c r="B25" s="23"/>
      <c r="C25" s="24"/>
      <c r="D25" s="25"/>
      <c r="E25" s="46"/>
      <c r="F25" s="46"/>
      <c r="G25" s="46"/>
      <c r="H25" s="46"/>
      <c r="I25" s="24"/>
      <c r="J25" s="46"/>
      <c r="K25" s="24"/>
      <c r="L25" s="46"/>
      <c r="M25" s="24"/>
    </row>
    <row r="26" spans="1:14">
      <c r="A26" s="1" t="s">
        <v>44</v>
      </c>
      <c r="B26" s="13">
        <f>B19</f>
        <v>600.411710739342</v>
      </c>
      <c r="C26" s="9" t="s">
        <v>36</v>
      </c>
      <c r="D26" s="14">
        <f>D19</f>
        <v>634.662236166572</v>
      </c>
      <c r="E26" s="29" t="s">
        <v>36</v>
      </c>
      <c r="F26" s="29">
        <f>F19</f>
        <v>419.6808</v>
      </c>
      <c r="G26" s="29" t="s">
        <v>36</v>
      </c>
      <c r="H26" s="47">
        <f>H19</f>
        <v>491.62608</v>
      </c>
      <c r="I26" s="9" t="s">
        <v>36</v>
      </c>
      <c r="J26" s="47">
        <f>J19*0.1</f>
        <v>41.96808</v>
      </c>
      <c r="K26" s="9" t="s">
        <v>36</v>
      </c>
      <c r="L26" s="43">
        <f>L19</f>
        <v>677.483193277311</v>
      </c>
      <c r="M26" s="9" t="s">
        <v>36</v>
      </c>
      <c r="N26" s="58" t="s">
        <v>45</v>
      </c>
    </row>
    <row r="27" spans="1:13">
      <c r="A27" s="1" t="s">
        <v>46</v>
      </c>
      <c r="B27" s="13">
        <f>B20*B11</f>
        <v>45.12</v>
      </c>
      <c r="C27" s="9" t="s">
        <v>47</v>
      </c>
      <c r="D27" s="14">
        <f>D20*D11</f>
        <v>45.12</v>
      </c>
      <c r="E27" s="29" t="s">
        <v>47</v>
      </c>
      <c r="F27" s="29">
        <f>F20*F11</f>
        <v>60</v>
      </c>
      <c r="G27" s="29" t="s">
        <v>47</v>
      </c>
      <c r="H27" s="43">
        <f>H20*H11</f>
        <v>48</v>
      </c>
      <c r="I27" s="9" t="s">
        <v>47</v>
      </c>
      <c r="J27" s="43">
        <f>J20*J11</f>
        <v>48</v>
      </c>
      <c r="K27" s="9" t="s">
        <v>47</v>
      </c>
      <c r="L27" s="29">
        <f>L20*L11</f>
        <v>48</v>
      </c>
      <c r="M27" s="9" t="s">
        <v>47</v>
      </c>
    </row>
    <row r="28" spans="1:13">
      <c r="A28" s="1" t="s">
        <v>48</v>
      </c>
      <c r="B28" s="13">
        <f>B21*B10</f>
        <v>80.8882892606584</v>
      </c>
      <c r="C28" s="9" t="s">
        <v>47</v>
      </c>
      <c r="D28" s="14">
        <f>D21*D10</f>
        <v>46.6377638334284</v>
      </c>
      <c r="E28" s="29" t="s">
        <v>47</v>
      </c>
      <c r="F28" s="29">
        <f>F21*F10</f>
        <v>18</v>
      </c>
      <c r="G28" s="29" t="s">
        <v>47</v>
      </c>
      <c r="H28" s="43">
        <f>H21*H10</f>
        <v>35.97264</v>
      </c>
      <c r="I28" s="9" t="s">
        <v>47</v>
      </c>
      <c r="J28" s="43">
        <f>J21*J10</f>
        <v>0</v>
      </c>
      <c r="K28" s="9" t="s">
        <v>47</v>
      </c>
      <c r="L28" s="29">
        <f>L21*L10</f>
        <v>3.81680672268906</v>
      </c>
      <c r="M28" s="9" t="s">
        <v>47</v>
      </c>
    </row>
    <row r="29" spans="1:13">
      <c r="A29" s="1" t="s">
        <v>49</v>
      </c>
      <c r="B29" s="13">
        <f>B24*B16</f>
        <v>0</v>
      </c>
      <c r="C29" s="9"/>
      <c r="D29" s="14">
        <f>D24*D16</f>
        <v>0</v>
      </c>
      <c r="E29" s="29"/>
      <c r="F29" s="29">
        <f>F24*F16</f>
        <v>4.53</v>
      </c>
      <c r="G29" s="29"/>
      <c r="H29" s="43">
        <f>H24*H16</f>
        <v>4.53</v>
      </c>
      <c r="I29" s="9"/>
      <c r="J29" s="43">
        <f>J24*J16</f>
        <v>4.53</v>
      </c>
      <c r="K29" s="9"/>
      <c r="L29" s="29">
        <f>L24*L16</f>
        <v>4.53</v>
      </c>
      <c r="M29" s="9"/>
    </row>
    <row r="30" spans="1:13">
      <c r="A30" s="1" t="s">
        <v>50</v>
      </c>
      <c r="B30" s="13">
        <f>B22*B14</f>
        <v>2.388</v>
      </c>
      <c r="C30" s="9" t="s">
        <v>47</v>
      </c>
      <c r="D30" s="14">
        <f>D22*D14</f>
        <v>2.388</v>
      </c>
      <c r="E30" s="29" t="s">
        <v>47</v>
      </c>
      <c r="F30" s="29">
        <f>F22*F14</f>
        <v>0.9174204072</v>
      </c>
      <c r="G30" s="29" t="s">
        <v>47</v>
      </c>
      <c r="H30" s="43">
        <f>H22*H14</f>
        <v>2.5312255536</v>
      </c>
      <c r="I30" s="9" t="s">
        <v>47</v>
      </c>
      <c r="J30" s="43">
        <f>J22*J14</f>
        <v>2.9488442472</v>
      </c>
      <c r="K30" s="9" t="s">
        <v>47</v>
      </c>
      <c r="L30" s="29">
        <f>L22*L14</f>
        <v>2.5074</v>
      </c>
      <c r="M30" s="9" t="s">
        <v>47</v>
      </c>
    </row>
    <row r="31" spans="1:13">
      <c r="A31" s="22"/>
      <c r="B31" s="23"/>
      <c r="C31" s="24"/>
      <c r="D31" s="25"/>
      <c r="E31" s="46"/>
      <c r="F31" s="46"/>
      <c r="G31" s="46"/>
      <c r="H31" s="48"/>
      <c r="I31" s="24"/>
      <c r="J31" s="48"/>
      <c r="K31" s="24"/>
      <c r="L31" s="46"/>
      <c r="M31" s="24"/>
    </row>
    <row r="32" spans="1:13">
      <c r="A32" s="1" t="s">
        <v>51</v>
      </c>
      <c r="B32" s="13">
        <f>SUM(B27:B31)</f>
        <v>128.396289260658</v>
      </c>
      <c r="C32" s="9" t="s">
        <v>47</v>
      </c>
      <c r="D32" s="14">
        <f>SUM(D27:D31)</f>
        <v>94.1457638334284</v>
      </c>
      <c r="E32" s="29" t="s">
        <v>47</v>
      </c>
      <c r="F32" s="29">
        <f>SUM(F27:F31)</f>
        <v>83.4474204072</v>
      </c>
      <c r="G32" s="29" t="s">
        <v>47</v>
      </c>
      <c r="H32" s="43">
        <f>SUM(H27:H31)</f>
        <v>91.0338655536</v>
      </c>
      <c r="I32" s="9" t="s">
        <v>47</v>
      </c>
      <c r="J32" s="43">
        <f>SUM(J27:J31)</f>
        <v>55.4788442472</v>
      </c>
      <c r="K32" s="9" t="s">
        <v>47</v>
      </c>
      <c r="L32" s="43">
        <f>SUM(L27:L31)</f>
        <v>58.8542067226891</v>
      </c>
      <c r="M32" s="9" t="s">
        <v>47</v>
      </c>
    </row>
    <row r="33" spans="1:13">
      <c r="A33" s="28" t="s">
        <v>52</v>
      </c>
      <c r="B33" s="29">
        <f>B32/B26</f>
        <v>0.21384707687089</v>
      </c>
      <c r="C33" s="29" t="s">
        <v>24</v>
      </c>
      <c r="D33" s="29">
        <f>D32/D26</f>
        <v>0.148339949139055</v>
      </c>
      <c r="E33" s="29" t="s">
        <v>24</v>
      </c>
      <c r="F33" s="29">
        <f>F32/F26</f>
        <v>0.198835449244283</v>
      </c>
      <c r="G33" s="29" t="s">
        <v>24</v>
      </c>
      <c r="H33" s="43">
        <f>H32/H26</f>
        <v>0.18516891039141</v>
      </c>
      <c r="I33" s="29" t="s">
        <v>24</v>
      </c>
      <c r="J33" s="43">
        <f>J32/J26</f>
        <v>1.32192952947097</v>
      </c>
      <c r="K33" s="29" t="s">
        <v>24</v>
      </c>
      <c r="L33" s="43">
        <f>L32/L26</f>
        <v>0.0868718328464844</v>
      </c>
      <c r="M33" s="29" t="s">
        <v>24</v>
      </c>
    </row>
    <row r="34" spans="1:13">
      <c r="A34" s="30" t="s">
        <v>53</v>
      </c>
      <c r="B34" s="31">
        <f>B33*1000</f>
        <v>213.84707687089</v>
      </c>
      <c r="C34" s="31" t="s">
        <v>54</v>
      </c>
      <c r="D34" s="31">
        <f>D33*1000</f>
        <v>148.339949139055</v>
      </c>
      <c r="E34" s="31" t="s">
        <v>54</v>
      </c>
      <c r="F34" s="31">
        <f>F33*1000</f>
        <v>198.835449244283</v>
      </c>
      <c r="G34" s="31" t="s">
        <v>54</v>
      </c>
      <c r="H34" s="31">
        <f>H33/0.000982</f>
        <v>188.563045205102</v>
      </c>
      <c r="I34" s="31" t="s">
        <v>55</v>
      </c>
      <c r="J34" s="52">
        <f>J33/0.000982</f>
        <v>1346.16041697655</v>
      </c>
      <c r="K34" s="31" t="s">
        <v>55</v>
      </c>
      <c r="L34" s="52">
        <f>L33/0.000982</f>
        <v>88.4641882347092</v>
      </c>
      <c r="M34" s="31" t="s">
        <v>55</v>
      </c>
    </row>
    <row r="35" spans="1:13">
      <c r="A35" s="28" t="s">
        <v>56</v>
      </c>
      <c r="B35" s="28">
        <f>B33*330*3.785</f>
        <v>267.105691365585</v>
      </c>
      <c r="C35" s="29" t="s">
        <v>57</v>
      </c>
      <c r="D35" s="28">
        <f>D33*330*3.785</f>
        <v>185.284013472137</v>
      </c>
      <c r="E35" s="29" t="s">
        <v>57</v>
      </c>
      <c r="F35" s="28">
        <f>F33*330*3.785</f>
        <v>248.355417878571</v>
      </c>
      <c r="G35" s="29" t="s">
        <v>57</v>
      </c>
      <c r="H35" s="29">
        <f>H33*330*3.785</f>
        <v>231.28522752439</v>
      </c>
      <c r="I35" s="29" t="s">
        <v>57</v>
      </c>
      <c r="J35" s="43">
        <f>J33*330*3.785</f>
        <v>1651.15607878571</v>
      </c>
      <c r="K35" s="29" t="s">
        <v>57</v>
      </c>
      <c r="L35" s="43">
        <f>L33*330*3.785</f>
        <v>108.507262816901</v>
      </c>
      <c r="M35" s="29" t="s">
        <v>57</v>
      </c>
    </row>
    <row r="36" spans="1:13">
      <c r="A36" s="28" t="s">
        <v>58</v>
      </c>
      <c r="B36" s="32">
        <f>B32/(B4*60)</f>
        <v>0.809411185956318</v>
      </c>
      <c r="C36" s="29" t="s">
        <v>59</v>
      </c>
      <c r="D36" s="32">
        <f>D32/(D4*60)</f>
        <v>0.561466707491325</v>
      </c>
      <c r="E36" s="29" t="s">
        <v>59</v>
      </c>
      <c r="F36" s="32">
        <f>F32/(F4*60)</f>
        <v>0.75259217538961</v>
      </c>
      <c r="G36" s="29" t="s">
        <v>59</v>
      </c>
      <c r="H36" s="43">
        <f>H35/330</f>
        <v>0.700864325831486</v>
      </c>
      <c r="I36" s="29" t="s">
        <v>59</v>
      </c>
      <c r="J36" s="43">
        <f>J35/330</f>
        <v>5.00350326904762</v>
      </c>
      <c r="K36" s="29" t="s">
        <v>59</v>
      </c>
      <c r="L36" s="43">
        <f>L35/330</f>
        <v>0.328809887323944</v>
      </c>
      <c r="M36" s="29" t="s">
        <v>59</v>
      </c>
    </row>
    <row r="37" spans="4:4">
      <c r="D37" s="33"/>
    </row>
    <row r="38" spans="1:13">
      <c r="A38" s="1" t="s">
        <v>60</v>
      </c>
      <c r="B38" s="8">
        <v>100</v>
      </c>
      <c r="C38" s="9" t="s">
        <v>47</v>
      </c>
      <c r="D38" s="8">
        <v>100</v>
      </c>
      <c r="E38" s="9" t="s">
        <v>47</v>
      </c>
      <c r="F38" s="8">
        <v>100</v>
      </c>
      <c r="G38" s="9" t="s">
        <v>47</v>
      </c>
      <c r="H38" s="8">
        <v>100</v>
      </c>
      <c r="I38" s="9" t="s">
        <v>47</v>
      </c>
      <c r="J38" s="8">
        <v>100</v>
      </c>
      <c r="K38" s="9" t="s">
        <v>47</v>
      </c>
      <c r="L38" s="8">
        <v>100</v>
      </c>
      <c r="M38" s="9" t="s">
        <v>47</v>
      </c>
    </row>
    <row r="40" spans="1:12">
      <c r="A40" t="s">
        <v>61</v>
      </c>
      <c r="H40" s="49">
        <f>H34</f>
        <v>188.563045205102</v>
      </c>
      <c r="I40" s="49"/>
      <c r="J40" s="49">
        <f>J34</f>
        <v>1346.16041697655</v>
      </c>
      <c r="K40" s="49"/>
      <c r="L40" s="49">
        <f>L34</f>
        <v>88.4641882347092</v>
      </c>
    </row>
    <row r="41" spans="1:12">
      <c r="A41" t="s">
        <v>62</v>
      </c>
      <c r="B41" s="34">
        <v>0.7</v>
      </c>
      <c r="H41" s="49">
        <f>H40*B41</f>
        <v>131.994131643571</v>
      </c>
      <c r="I41" s="49"/>
      <c r="J41" s="49">
        <f>J40*0.5</f>
        <v>673.080208488273</v>
      </c>
      <c r="K41" s="49"/>
      <c r="L41" s="49">
        <f>L40*0.5</f>
        <v>44.2320941173546</v>
      </c>
    </row>
    <row r="42" spans="1:12">
      <c r="A42" t="s">
        <v>63</v>
      </c>
      <c r="B42" s="34">
        <v>0.1</v>
      </c>
      <c r="H42" s="49">
        <f>SUM(H40:H41)*$B$42</f>
        <v>32.0557176848673</v>
      </c>
      <c r="I42" s="49"/>
      <c r="J42" s="49">
        <f>SUM(J40:J41)*$B$42</f>
        <v>201.924062546482</v>
      </c>
      <c r="K42" s="49"/>
      <c r="L42" s="49">
        <f>SUM(L40:L41)*$B$42</f>
        <v>13.2696282352064</v>
      </c>
    </row>
    <row r="43" spans="1:12">
      <c r="A43" t="s">
        <v>64</v>
      </c>
      <c r="H43" s="50">
        <f>SUM(H40:H42)</f>
        <v>352.61289453354</v>
      </c>
      <c r="I43" s="50"/>
      <c r="J43" s="50">
        <f>SUM(J40:J42)</f>
        <v>2221.1646880113</v>
      </c>
      <c r="K43" s="50"/>
      <c r="L43" s="50">
        <f>SUM(L40:L42)</f>
        <v>145.96591058727</v>
      </c>
    </row>
    <row r="45" spans="1:10">
      <c r="A45" t="s">
        <v>65</v>
      </c>
      <c r="H45" s="50">
        <v>434.85</v>
      </c>
      <c r="J45" s="50"/>
    </row>
    <row r="46" spans="1:1">
      <c r="A46" t="s">
        <v>66</v>
      </c>
    </row>
    <row r="48" spans="12:12">
      <c r="L48" t="s">
        <v>67</v>
      </c>
    </row>
    <row r="49" spans="12:13">
      <c r="L49" t="s">
        <v>68</v>
      </c>
      <c r="M49" s="59">
        <f>(L36-J36)/J36</f>
        <v>-0.934284066654256</v>
      </c>
    </row>
    <row r="50" spans="12:13">
      <c r="L50" t="s">
        <v>69</v>
      </c>
      <c r="M50" s="59">
        <f>(H36-J36)/J36</f>
        <v>-0.859925278720785</v>
      </c>
    </row>
  </sheetData>
  <mergeCells count="12">
    <mergeCell ref="B1:C1"/>
    <mergeCell ref="D1:E1"/>
    <mergeCell ref="F1:G1"/>
    <mergeCell ref="H1:I1"/>
    <mergeCell ref="J1:K1"/>
    <mergeCell ref="L1:M1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9245C6E-0A5B-448C-AFB6-D61D249A8376}">
  <ds:schemaRefs/>
</ds:datastoreItem>
</file>

<file path=customXml/itemProps2.xml><?xml version="1.0" encoding="utf-8"?>
<ds:datastoreItem xmlns:ds="http://schemas.openxmlformats.org/officeDocument/2006/customXml" ds:itemID="{BB7A1D8A-5B4A-41C2-8B7D-F9A083691044}">
  <ds:schemaRefs/>
</ds:datastoreItem>
</file>

<file path=customXml/itemProps3.xml><?xml version="1.0" encoding="utf-8"?>
<ds:datastoreItem xmlns:ds="http://schemas.openxmlformats.org/officeDocument/2006/customXml" ds:itemID="{7172BB9E-5562-43BB-8607-21C7290C5B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Operating 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</dc:creator>
  <cp:lastModifiedBy>LiuJinkang</cp:lastModifiedBy>
  <dcterms:created xsi:type="dcterms:W3CDTF">2026-01-30T07:04:00Z</dcterms:created>
  <dcterms:modified xsi:type="dcterms:W3CDTF">2026-02-06T16:12:45Z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0x010100A2556D318E681C408A88725D93ADAB63</vt:lpwstr>
  </property>
  <property fmtid="{D5CDD505-2E9C-101B-9397-08002B2CF9AE}" pid="3" name="MediaServiceImageTags">
    <vt:lpwstr/>
  </property>
  <property fmtid="{D5CDD505-2E9C-101B-9397-08002B2CF9AE}" pid="4" name="ICV">
    <vt:lpwstr>EB0306B8F4702E70F97E8269DB45CD7B_42</vt:lpwstr>
  </property>
  <property fmtid="{D5CDD505-2E9C-101B-9397-08002B2CF9AE}" pid="5" name="KSOProductBuildVer">
    <vt:lpwstr>1033-12.1.23155.23155</vt:lpwstr>
  </property>
</Properties>
</file>