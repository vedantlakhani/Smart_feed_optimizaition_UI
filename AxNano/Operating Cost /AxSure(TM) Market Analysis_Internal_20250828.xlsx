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<sst xmlns="http://schemas.openxmlformats.org/spreadsheetml/2006/main" count="78" uniqueCount="65">
  <si>
    <t>AxSure™ Market Analysis
Prepared by AxNano Inc, not for distribution. Confidential and Business Sensitive – Internal Analysis Provided for Discussion Purposes Only
This market analysis model is based on internal research, proprietary assumptions, and publicly available sources. It is intended to support strategic discussions and does not constitute a formal forecast or guarantee of market outcomes.</t>
  </si>
  <si>
    <t>Top Down Market Analysis - Method 1. Starting with Global PFAS Market</t>
  </si>
  <si>
    <t>Sources and Assumptions</t>
  </si>
  <si>
    <t>Global PFAS waste management market</t>
  </si>
  <si>
    <t>https://www.maximizemarketresearch.com/market-report/polyfluoroalkyl-substances-pfas-waste-management-market/258824/</t>
  </si>
  <si>
    <t>US Percentage of the Global market</t>
  </si>
  <si>
    <t>US PFAS waste management market</t>
  </si>
  <si>
    <t xml:space="preserve">Percentage that is related to disposal by incineration and landfilling </t>
  </si>
  <si>
    <t xml:space="preserve">Total Available Market
Market for Destruction Services on US PFAS Waste currently going to landfill or incineration. </t>
  </si>
  <si>
    <t>Percentage of incineration+landfilling services that is replaceable by SCWO</t>
  </si>
  <si>
    <t xml:space="preserve">Internal Estimate. SCWO relevant wastes are liquids and grindable solids.Soils not included. Biosolids can be processed by SCWO, but we are not currently including this in our market analysis because of the large volume. Target is on-site, low-to-mid volume generators, where SCWO offers smaller footprint for on-site destruction. Focus on liquid concentrates and spent sorption media. </t>
  </si>
  <si>
    <t xml:space="preserve">Served Available Market
Market for Destruction Services on  US PFAS Waste - Liquid concentrates and spent sorption media. </t>
  </si>
  <si>
    <t>Restricted waste generators (willingness to pay higher price to not incinerate (essentially DoD because they can't)</t>
  </si>
  <si>
    <t>Internal estimate based on:  DoD represents 10% of total HazWaste Market (https://www.gao.gov/assets/gao-22-104744.pdf).  DoD represents larger (&gt;10%) percent of PFAS waste due to their legacy use of AFFF.</t>
  </si>
  <si>
    <t xml:space="preserve">Serviceable Obtainable Market
Market for Destruction Services of US PFAS Concentrated Waste for Generators facing liability or government restrictions on disposal. </t>
  </si>
  <si>
    <t>Top Down Market Analysis - Method 2. Starting with US Haz Waste Market</t>
  </si>
  <si>
    <t>Waste Treatment &amp; Disposal Services in the US</t>
  </si>
  <si>
    <t>Pigott, M. "Waste Treatment &amp; Disposal Services in the US" IBIS World, 2023.</t>
  </si>
  <si>
    <t>Percentages that has to do with hazardous waste treatment</t>
  </si>
  <si>
    <t>Hazardous Waste Disposal Services in the US</t>
  </si>
  <si>
    <t xml:space="preserve">Percentage that is incineration and landfilling </t>
  </si>
  <si>
    <t xml:space="preserve">https://www.maximizemarketresearch.com/market-report/polyfluoroalkyl-substances-pfas-waste-management-market/258824/. Deep well is 20% - these will continue to be deep well injected. </t>
  </si>
  <si>
    <t>Market for HazWaste Disposal by incineration and landfilling</t>
  </si>
  <si>
    <t>US Market for Destruction Services on haz waste currently going to landfill or incineration (includes PFAS and beyond)</t>
  </si>
  <si>
    <t xml:space="preserve">Percentage that is PFAS </t>
  </si>
  <si>
    <t>https://www.statista.com/statistics/1392870/global-market-value-of-pfas-waste-management/</t>
  </si>
  <si>
    <t>Total Available Market
US Market for Destruction Services of PFAS Waste.</t>
  </si>
  <si>
    <t xml:space="preserve">Internal Estimate. Near-term target for SCWO wastes are liquid concentrates and grindable solids.Soils not included. Biosolids can be processed by SCWO, but we are not currently including this in our market analysis because of the large volume. Target is on-site, low-to-mid volume generators, where SCWO offers smaller footprint for on-site destruction. Focus on liquid concentrates and spent sorption media. </t>
  </si>
  <si>
    <t xml:space="preserve">Served Available Market
US Market for SCWO Destruction Services of targeted PFAS Wastes: liquid concentrates and spent media. </t>
  </si>
  <si>
    <t xml:space="preserve">Serviceable Obtainable Market
US Market for SCWO Destruction Services of targeted PFAS Concentrated Waste from Generators facing liability or government restrictions on disposal. </t>
  </si>
  <si>
    <t>CAGR over 5 years</t>
  </si>
  <si>
    <t>https://investors.aecom.com/static-files/2dfcf5c0-ab90-4e1c-a53d-3138f669f54e</t>
  </si>
  <si>
    <t>Bottom Up Market Analysis</t>
  </si>
  <si>
    <t>Cost per ton treated by SCWO</t>
  </si>
  <si>
    <t xml:space="preserve">Internally derived from empirical data. </t>
  </si>
  <si>
    <t>Cost per ton to landfill (RCRA)</t>
  </si>
  <si>
    <t>Primary research from ANG Biddle June 2024</t>
  </si>
  <si>
    <t>Cost per ton to landfill (non-RCRA)</t>
  </si>
  <si>
    <t>Primary research from Shaw AFB Feb 2025</t>
  </si>
  <si>
    <t>Tons of PFAS Solid Waste per year from Biddle AFB</t>
  </si>
  <si>
    <t>Number of AF sites with Interim Response Actions (groundwater or soil remediation) generating solid PFAS Waste like Biddle</t>
  </si>
  <si>
    <t>https://www.afcec.af.mil/Portals/17/documents/Environment/Emerging%20contaminants/DAF%20PFAS%20Snapshot-May%202024_FINAL.pdf?ver=2NQOwQBrbdMHZfGtPe3hMQ%3d%3d</t>
  </si>
  <si>
    <t>Number of sites with drinking water treatments installed generating solid PFAS Waste like Biddle</t>
  </si>
  <si>
    <t>14 sites with drinking water, doubled number to account for them generating more spent resin than groundwater treatment systems. https://www.afcec.af.mil/Portals/17/documents/Environment/Emerging%20contaminants/DAF%20PFAS%20Snapshot-May%202024_FINAL.pdf?ver=2NQOwQBrbdMHZfGtPe3hMQ%3d%3d</t>
  </si>
  <si>
    <t>Tons of PFAS Solid Waste per year from Air Force</t>
  </si>
  <si>
    <t xml:space="preserve">Calculated by number of sites x tons generated per site (estimate based on Biddle actuals). </t>
  </si>
  <si>
    <t>Tons of PFAS Liquid Waste per year from Air Force</t>
  </si>
  <si>
    <t>PFAS Concentrate disposed of. Does not include wastewater treatment plant effluents. https://www.afcec.af.mil/Portals/17/documents/Environment/Emerging%20contaminants/DAF%20PFAS%20Snapshot-May%202024_FINAL.pdf?ver=2NQOwQBrbdMHZfGtPe3hMQ%3d%3d</t>
  </si>
  <si>
    <t>Estimated Tons of PFAS Waste (Solid+Liquid) per year from Air Force</t>
  </si>
  <si>
    <t>Estimated Tons of PFAS Waste (Solid+Liquid) per year from Entire DoD</t>
  </si>
  <si>
    <t xml:space="preserve">AF represents 15% of total DoD hazwaste disposal , https://www.denix.osd.mil/arc/denix-files/sites/6/2016/03/App_V_SolidHazardousWaste_osd-draft.pdf </t>
  </si>
  <si>
    <t>Estimated Tons of PFAS Waste (Solid+Liquid) per year from US Market</t>
  </si>
  <si>
    <t>DoD represents 10% of total HazWaste Market, Estimating 20% of PFAS market due to AFFF usage</t>
  </si>
  <si>
    <t>Price per ton treated by SCWO</t>
  </si>
  <si>
    <t xml:space="preserve">Serviceable Obtainable Market </t>
  </si>
  <si>
    <t xml:space="preserve">US Market for SCWO Destruction Services of targeted PFAS Concentrated Waste from Generators facing liability or government restrictions on disposal. </t>
  </si>
  <si>
    <t>Serviceable Addressable Market</t>
  </si>
  <si>
    <t xml:space="preserve">US Market for SCWO Destruction Services of targeted PFAS Wastes: liquid concentrates and spent media. </t>
  </si>
  <si>
    <t>Total Addressable Market PFAS</t>
  </si>
  <si>
    <t>US Market for SCWO Destruction Services of PFAS Waste.</t>
  </si>
  <si>
    <t>Total Addressable Market Beyond PFAS</t>
  </si>
  <si>
    <t xml:space="preserve">US Market for SCWO Destruction Services of Hazardous Waste. </t>
  </si>
  <si>
    <t>Check</t>
  </si>
  <si>
    <t>US PFAS Remediation Market from AECOM</t>
  </si>
  <si>
    <t>TAM Percentage of AECOM TAM - US SCWO Disposal of PFAS Solids+Liquids Disposal Market (non-biosolids, non-soils)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</si>
</sst>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quot;$&quot;* #,##0_);_(&quot;$&quot;* \(#,##0\);_(&quot;$&quot;* &quot;-&quot;??_);_(@_)"/>
    <numFmt numFmtId="179" formatCode="0.0%"/>
  </numFmts>
  <fonts count="24">
    <font>
      <sz val="11"/>
      <color theme="1"/>
      <name val="Aptos Narrow"/>
      <charset val="134"/>
      <scheme val="minor"/>
    </font>
    <font>
      <b/>
      <sz val="12"/>
      <color theme="1"/>
      <name val="Aptos Narrow"/>
      <charset val="134"/>
      <scheme val="minor"/>
    </font>
    <font>
      <b/>
      <sz val="11"/>
      <color theme="1"/>
      <name val="Arial"/>
      <charset val="134"/>
    </font>
    <font>
      <sz val="11"/>
      <color theme="1"/>
      <name val="Arial"/>
      <charset val="134"/>
    </font>
    <font>
      <u/>
      <sz val="11"/>
      <color theme="10"/>
      <name val="Aptos Narrow"/>
      <charset val="134"/>
      <scheme val="minor"/>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theme="4"/>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4" fillId="0" borderId="0" applyNumberFormat="0" applyFill="0" applyBorder="0" applyAlignment="0" applyProtection="0"/>
    <xf numFmtId="0" fontId="6" fillId="0" borderId="0" applyNumberFormat="0" applyFill="0" applyBorder="0" applyAlignment="0" applyProtection="0">
      <alignment vertical="center"/>
    </xf>
    <xf numFmtId="0" fontId="5"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28">
    <xf numFmtId="0" fontId="0" fillId="0" borderId="0" xfId="0"/>
    <xf numFmtId="0" fontId="0" fillId="0" borderId="0" xfId="0" applyAlignment="1">
      <alignment wrapText="1"/>
    </xf>
    <xf numFmtId="0" fontId="1" fillId="0" borderId="0" xfId="0" applyFont="1" applyAlignment="1">
      <alignment horizontal="center" wrapText="1"/>
    </xf>
    <xf numFmtId="0" fontId="2" fillId="2" borderId="0" xfId="0" applyFont="1" applyFill="1" applyAlignment="1">
      <alignment wrapText="1"/>
    </xf>
    <xf numFmtId="0" fontId="3" fillId="2" borderId="0" xfId="0" applyFont="1" applyFill="1"/>
    <xf numFmtId="0" fontId="3" fillId="0" borderId="0" xfId="0" applyFont="1" applyAlignment="1">
      <alignment wrapText="1"/>
    </xf>
    <xf numFmtId="44" fontId="3" fillId="0" borderId="0" xfId="0" applyNumberFormat="1" applyFont="1"/>
    <xf numFmtId="0" fontId="3" fillId="0" borderId="0" xfId="0" applyFont="1"/>
    <xf numFmtId="10" fontId="3" fillId="0" borderId="0" xfId="0" applyNumberFormat="1" applyFont="1"/>
    <xf numFmtId="9" fontId="3" fillId="0" borderId="0" xfId="0" applyNumberFormat="1" applyFont="1"/>
    <xf numFmtId="0" fontId="4" fillId="0" borderId="0" xfId="6" applyAlignment="1">
      <alignment wrapText="1"/>
    </xf>
    <xf numFmtId="0" fontId="2" fillId="3" borderId="0" xfId="0" applyFont="1" applyFill="1" applyAlignment="1">
      <alignment horizontal="right" wrapText="1"/>
    </xf>
    <xf numFmtId="44" fontId="2" fillId="3" borderId="0" xfId="0" applyNumberFormat="1" applyFont="1" applyFill="1"/>
    <xf numFmtId="0" fontId="2" fillId="3" borderId="0" xfId="0" applyFont="1" applyFill="1"/>
    <xf numFmtId="0" fontId="2" fillId="3" borderId="0" xfId="0" applyFont="1" applyFill="1" applyAlignment="1">
      <alignment wrapText="1"/>
    </xf>
    <xf numFmtId="178" fontId="3" fillId="0" borderId="0" xfId="0" applyNumberFormat="1" applyFont="1"/>
    <xf numFmtId="0" fontId="2" fillId="0" borderId="0" xfId="0" applyFont="1"/>
    <xf numFmtId="0" fontId="3" fillId="0" borderId="0" xfId="0" applyFont="1" applyAlignment="1">
      <alignment horizontal="left" wrapText="1"/>
    </xf>
    <xf numFmtId="0" fontId="2" fillId="0" borderId="0" xfId="0" applyFont="1" applyAlignment="1">
      <alignment wrapText="1"/>
    </xf>
    <xf numFmtId="0" fontId="4" fillId="0" borderId="0" xfId="6" applyFill="1" applyAlignment="1">
      <alignment wrapText="1"/>
    </xf>
    <xf numFmtId="178" fontId="2" fillId="3" borderId="0" xfId="0" applyNumberFormat="1" applyFont="1" applyFill="1"/>
    <xf numFmtId="0" fontId="3" fillId="3" borderId="0" xfId="0" applyFont="1" applyFill="1"/>
    <xf numFmtId="1" fontId="3" fillId="0" borderId="0" xfId="0" applyNumberFormat="1" applyFont="1"/>
    <xf numFmtId="44" fontId="2" fillId="0" borderId="0" xfId="0" applyNumberFormat="1" applyFont="1"/>
    <xf numFmtId="9" fontId="3" fillId="0" borderId="0" xfId="3" applyFont="1" applyFill="1"/>
    <xf numFmtId="178" fontId="3" fillId="0" borderId="0" xfId="2" applyNumberFormat="1" applyFont="1" applyFill="1"/>
    <xf numFmtId="179" fontId="3" fillId="0" borderId="0" xfId="3" applyNumberFormat="1" applyFont="1" applyFill="1"/>
    <xf numFmtId="2" fontId="3"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afcec.af.mil/Portals/17/documents/Environment/Emerging%20contaminants/DAF%20PFAS%20Snapshot-May%202024_FINAL.pdf?ver=2NQOwQBrbdMHZfGtPe3hMQ%3d%3d" TargetMode="External"/><Relationship Id="rId2" Type="http://schemas.openxmlformats.org/officeDocument/2006/relationships/hyperlink" Target="https://www.maximizemarketresearch.com/market-report/polyfluoroalkyl-substances-pfas-waste-management-market/258824/" TargetMode="External"/><Relationship Id="rId1" Type="http://schemas.openxmlformats.org/officeDocument/2006/relationships/hyperlink" Target="https://www.statista.com/statistics/1392870/global-market-value-of-pfas-waste-managem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tabSelected="1" zoomScale="60" zoomScaleNormal="60" workbookViewId="0">
      <selection activeCell="A45" sqref="A45"/>
    </sheetView>
  </sheetViews>
  <sheetFormatPr defaultColWidth="9" defaultRowHeight="16.8" outlineLevelCol="5"/>
  <cols>
    <col min="1" max="1" width="102.426470588235" style="1" customWidth="1"/>
    <col min="2" max="2" width="27.7132352941176" customWidth="1"/>
    <col min="4" max="4" width="206.713235294118" style="1" customWidth="1"/>
  </cols>
  <sheetData>
    <row r="1" ht="57.6" customHeight="1" spans="1:4">
      <c r="A1" s="2" t="s">
        <v>0</v>
      </c>
      <c r="B1" s="2"/>
      <c r="C1" s="2"/>
      <c r="D1" s="2"/>
    </row>
    <row r="3" ht="27.6" customHeight="1" spans="1:6">
      <c r="A3" s="3" t="s">
        <v>1</v>
      </c>
      <c r="B3" s="4"/>
      <c r="C3" s="4"/>
      <c r="D3" s="3" t="s">
        <v>2</v>
      </c>
      <c r="E3" s="7"/>
      <c r="F3" s="7"/>
    </row>
    <row r="4" ht="27.6" customHeight="1" spans="1:6">
      <c r="A4" s="5" t="s">
        <v>3</v>
      </c>
      <c r="B4" s="6">
        <v>13980000000</v>
      </c>
      <c r="C4" s="7"/>
      <c r="D4" s="1" t="s">
        <v>4</v>
      </c>
      <c r="E4" s="7"/>
      <c r="F4" s="7"/>
    </row>
    <row r="5" ht="27.6" customHeight="1" spans="1:6">
      <c r="A5" s="5" t="s">
        <v>5</v>
      </c>
      <c r="B5" s="8">
        <v>0.1</v>
      </c>
      <c r="C5" s="7"/>
      <c r="D5" s="1" t="s">
        <v>4</v>
      </c>
      <c r="E5" s="7"/>
      <c r="F5" s="7"/>
    </row>
    <row r="6" ht="27.6" customHeight="1" spans="1:6">
      <c r="A6" s="5" t="s">
        <v>6</v>
      </c>
      <c r="B6" s="6">
        <f>B5*B4</f>
        <v>1398000000</v>
      </c>
      <c r="C6" s="7"/>
      <c r="D6" s="5"/>
      <c r="E6" s="7"/>
      <c r="F6" s="7"/>
    </row>
    <row r="7" ht="27.6" customHeight="1" spans="1:6">
      <c r="A7" s="5" t="s">
        <v>7</v>
      </c>
      <c r="B7" s="9">
        <v>0.65</v>
      </c>
      <c r="C7" s="7"/>
      <c r="D7" s="10" t="s">
        <v>4</v>
      </c>
      <c r="E7" s="7"/>
      <c r="F7" s="7"/>
    </row>
    <row r="8" ht="27.6" customHeight="1" spans="1:6">
      <c r="A8" s="11" t="s">
        <v>8</v>
      </c>
      <c r="B8" s="12">
        <f>B7*B6</f>
        <v>908700000</v>
      </c>
      <c r="C8" s="13"/>
      <c r="D8" s="14"/>
      <c r="E8" s="7"/>
      <c r="F8" s="7"/>
    </row>
    <row r="9" ht="27.6" customHeight="1" spans="1:6">
      <c r="A9" s="5" t="s">
        <v>9</v>
      </c>
      <c r="B9" s="9">
        <v>0.33</v>
      </c>
      <c r="C9" s="7"/>
      <c r="D9" s="5" t="s">
        <v>10</v>
      </c>
      <c r="E9" s="7"/>
      <c r="F9" s="7"/>
    </row>
    <row r="10" ht="40.9" customHeight="1" spans="1:6">
      <c r="A10" s="11" t="s">
        <v>11</v>
      </c>
      <c r="B10" s="12">
        <f>B9*B8</f>
        <v>299871000</v>
      </c>
      <c r="C10" s="13"/>
      <c r="D10" s="14"/>
      <c r="E10" s="7"/>
      <c r="F10" s="7"/>
    </row>
    <row r="11" ht="27.6" customHeight="1" spans="1:6">
      <c r="A11" s="5" t="s">
        <v>12</v>
      </c>
      <c r="B11" s="9">
        <v>0.2</v>
      </c>
      <c r="C11" s="7"/>
      <c r="D11" s="5" t="s">
        <v>13</v>
      </c>
      <c r="E11" s="7"/>
      <c r="F11" s="7"/>
    </row>
    <row r="12" ht="27.6" customHeight="1" spans="1:6">
      <c r="A12" s="11" t="s">
        <v>14</v>
      </c>
      <c r="B12" s="12">
        <f>B11*B10</f>
        <v>59974200</v>
      </c>
      <c r="C12" s="13"/>
      <c r="D12" s="14"/>
      <c r="E12" s="7"/>
      <c r="F12" s="7"/>
    </row>
    <row r="13" ht="27.6" customHeight="1" spans="1:6">
      <c r="A13" s="5"/>
      <c r="B13" s="7"/>
      <c r="C13" s="7"/>
      <c r="D13" s="5"/>
      <c r="E13" s="7"/>
      <c r="F13" s="7"/>
    </row>
    <row r="14" ht="27.6" customHeight="1" spans="1:6">
      <c r="A14" s="5"/>
      <c r="B14" s="7"/>
      <c r="C14" s="7"/>
      <c r="D14" s="5"/>
      <c r="E14" s="7"/>
      <c r="F14" s="7"/>
    </row>
    <row r="15" ht="27.6" customHeight="1" spans="1:6">
      <c r="A15" s="3" t="s">
        <v>15</v>
      </c>
      <c r="B15" s="4"/>
      <c r="C15" s="4"/>
      <c r="D15" s="3" t="s">
        <v>2</v>
      </c>
      <c r="E15" s="7"/>
      <c r="F15" s="7"/>
    </row>
    <row r="16" ht="27.6" customHeight="1" spans="1:6">
      <c r="A16" s="5" t="s">
        <v>16</v>
      </c>
      <c r="B16" s="15">
        <v>25900000000</v>
      </c>
      <c r="C16" s="7"/>
      <c r="D16" s="5" t="s">
        <v>17</v>
      </c>
      <c r="E16" s="7"/>
      <c r="F16" s="7"/>
    </row>
    <row r="17" ht="27.6" customHeight="1" spans="1:6">
      <c r="A17" s="5" t="s">
        <v>18</v>
      </c>
      <c r="B17" s="8">
        <v>0.47</v>
      </c>
      <c r="C17" s="7"/>
      <c r="D17" s="5" t="s">
        <v>17</v>
      </c>
      <c r="E17" s="7"/>
      <c r="F17" s="7"/>
    </row>
    <row r="18" ht="27.6" customHeight="1" spans="1:6">
      <c r="A18" s="5" t="s">
        <v>19</v>
      </c>
      <c r="B18" s="15">
        <f>B17*B16</f>
        <v>12173000000</v>
      </c>
      <c r="C18" s="7"/>
      <c r="D18" s="5"/>
      <c r="E18" s="27"/>
      <c r="F18" s="7"/>
    </row>
    <row r="19" ht="27.6" customHeight="1" spans="1:6">
      <c r="A19" s="5" t="s">
        <v>20</v>
      </c>
      <c r="B19" s="9">
        <v>0.7</v>
      </c>
      <c r="C19" s="16"/>
      <c r="D19" s="1" t="s">
        <v>21</v>
      </c>
      <c r="E19" s="16"/>
      <c r="F19" s="16"/>
    </row>
    <row r="20" ht="27.6" customHeight="1" spans="1:6">
      <c r="A20" s="17" t="s">
        <v>22</v>
      </c>
      <c r="B20" s="15">
        <f>B19*B18</f>
        <v>8521100000</v>
      </c>
      <c r="C20" s="16"/>
      <c r="D20" s="18" t="s">
        <v>23</v>
      </c>
      <c r="E20" s="16"/>
      <c r="F20" s="16"/>
    </row>
    <row r="21" ht="27.6" customHeight="1" spans="1:6">
      <c r="A21" s="5" t="s">
        <v>24</v>
      </c>
      <c r="B21" s="9">
        <v>0.09</v>
      </c>
      <c r="C21" s="7"/>
      <c r="D21" s="19" t="s">
        <v>25</v>
      </c>
      <c r="E21" s="7"/>
      <c r="F21" s="7"/>
    </row>
    <row r="22" ht="27.6" customHeight="1" spans="1:6">
      <c r="A22" s="11" t="s">
        <v>26</v>
      </c>
      <c r="B22" s="20">
        <f>B21*B20</f>
        <v>766899000</v>
      </c>
      <c r="C22" s="21"/>
      <c r="D22" s="14"/>
      <c r="E22" s="7"/>
      <c r="F22" s="7"/>
    </row>
    <row r="23" ht="27.6" customHeight="1" spans="1:6">
      <c r="A23" s="5" t="s">
        <v>9</v>
      </c>
      <c r="B23" s="9">
        <v>0.33</v>
      </c>
      <c r="C23" s="7"/>
      <c r="D23" s="5" t="s">
        <v>27</v>
      </c>
      <c r="E23" s="7"/>
      <c r="F23" s="7"/>
    </row>
    <row r="24" ht="27.6" customHeight="1" spans="1:6">
      <c r="A24" s="11" t="s">
        <v>28</v>
      </c>
      <c r="B24" s="20">
        <f>B23*B22</f>
        <v>253076670</v>
      </c>
      <c r="C24" s="21"/>
      <c r="D24" s="14"/>
      <c r="E24" s="7"/>
      <c r="F24" s="7"/>
    </row>
    <row r="25" ht="27.6" customHeight="1" spans="1:6">
      <c r="A25" s="5" t="s">
        <v>12</v>
      </c>
      <c r="B25" s="9">
        <v>0.2</v>
      </c>
      <c r="C25" s="7"/>
      <c r="D25" s="5" t="s">
        <v>13</v>
      </c>
      <c r="E25" s="7"/>
      <c r="F25" s="7"/>
    </row>
    <row r="26" ht="27.6" customHeight="1" spans="1:6">
      <c r="A26" s="11" t="s">
        <v>29</v>
      </c>
      <c r="B26" s="20">
        <f>B25*B24</f>
        <v>50615334</v>
      </c>
      <c r="C26" s="21"/>
      <c r="D26" s="14"/>
      <c r="E26" s="7"/>
      <c r="F26" s="7"/>
    </row>
    <row r="27" ht="27.6" customHeight="1" spans="1:6">
      <c r="A27" s="5"/>
      <c r="B27" s="7"/>
      <c r="C27" s="7"/>
      <c r="D27" s="5"/>
      <c r="E27" s="7"/>
      <c r="F27" s="7"/>
    </row>
    <row r="28" ht="27.6" customHeight="1" spans="1:6">
      <c r="A28" s="5" t="s">
        <v>30</v>
      </c>
      <c r="B28" s="8">
        <v>0.08</v>
      </c>
      <c r="C28" s="7"/>
      <c r="D28" s="19" t="s">
        <v>31</v>
      </c>
      <c r="E28" s="7"/>
      <c r="F28" s="7"/>
    </row>
    <row r="29" ht="27.6" customHeight="1" spans="1:6">
      <c r="A29" s="5"/>
      <c r="B29" s="7"/>
      <c r="C29" s="7"/>
      <c r="D29" s="5"/>
      <c r="E29" s="7"/>
      <c r="F29" s="7"/>
    </row>
    <row r="30" ht="27.6" customHeight="1" spans="1:6">
      <c r="A30" s="3" t="s">
        <v>32</v>
      </c>
      <c r="B30" s="4"/>
      <c r="C30" s="4"/>
      <c r="D30" s="3" t="s">
        <v>2</v>
      </c>
      <c r="E30" s="7"/>
      <c r="F30" s="7"/>
    </row>
    <row r="31" ht="27.6" customHeight="1" spans="1:6">
      <c r="A31" s="5" t="s">
        <v>33</v>
      </c>
      <c r="B31" s="6">
        <v>352.61289453354</v>
      </c>
      <c r="C31" s="7"/>
      <c r="D31" s="5" t="s">
        <v>34</v>
      </c>
      <c r="E31" s="7"/>
      <c r="F31" s="7"/>
    </row>
    <row r="32" ht="27.6" customHeight="1" spans="1:6">
      <c r="A32" s="5" t="s">
        <v>35</v>
      </c>
      <c r="B32" s="6">
        <v>840</v>
      </c>
      <c r="C32" s="7"/>
      <c r="D32" s="5" t="s">
        <v>36</v>
      </c>
      <c r="E32" s="7"/>
      <c r="F32" s="7"/>
    </row>
    <row r="33" ht="27.6" customHeight="1" spans="1:6">
      <c r="A33" s="5" t="s">
        <v>37</v>
      </c>
      <c r="B33" s="6">
        <v>260</v>
      </c>
      <c r="C33" s="7"/>
      <c r="D33" s="5" t="s">
        <v>38</v>
      </c>
      <c r="E33" s="7"/>
      <c r="F33" s="7"/>
    </row>
    <row r="34" ht="27.6" customHeight="1" spans="1:6">
      <c r="A34" s="5"/>
      <c r="B34" s="7"/>
      <c r="C34" s="7"/>
      <c r="D34" s="5"/>
      <c r="E34" s="7"/>
      <c r="F34" s="7"/>
    </row>
    <row r="35" ht="27.6" customHeight="1" spans="1:6">
      <c r="A35" s="5" t="s">
        <v>39</v>
      </c>
      <c r="B35" s="7">
        <v>16</v>
      </c>
      <c r="C35" s="7"/>
      <c r="D35" s="5" t="s">
        <v>36</v>
      </c>
      <c r="E35" s="7"/>
      <c r="F35" s="7"/>
    </row>
    <row r="36" ht="27.6" customHeight="1" spans="1:6">
      <c r="A36" s="5" t="s">
        <v>40</v>
      </c>
      <c r="B36" s="7">
        <v>39</v>
      </c>
      <c r="C36" s="7"/>
      <c r="D36" s="10" t="s">
        <v>41</v>
      </c>
      <c r="E36" s="7"/>
      <c r="F36" s="7"/>
    </row>
    <row r="37" ht="27.6" customHeight="1" spans="1:6">
      <c r="A37" s="5" t="s">
        <v>42</v>
      </c>
      <c r="B37" s="7">
        <f>14*2</f>
        <v>28</v>
      </c>
      <c r="C37" s="7"/>
      <c r="D37" s="1" t="s">
        <v>43</v>
      </c>
      <c r="E37" s="7"/>
      <c r="F37" s="7"/>
    </row>
    <row r="38" ht="27.6" customHeight="1" spans="1:6">
      <c r="A38" s="5" t="s">
        <v>44</v>
      </c>
      <c r="B38" s="7">
        <f>B35*(B36+B37)</f>
        <v>1072</v>
      </c>
      <c r="C38" s="7"/>
      <c r="D38" s="5" t="s">
        <v>45</v>
      </c>
      <c r="E38" s="7"/>
      <c r="F38" s="7"/>
    </row>
    <row r="39" ht="27.6" customHeight="1" spans="1:6">
      <c r="A39" s="5" t="s">
        <v>46</v>
      </c>
      <c r="B39" s="22">
        <f>(542500+445800)*8.34/2000</f>
        <v>4121.211</v>
      </c>
      <c r="C39" s="7"/>
      <c r="D39" s="1" t="s">
        <v>47</v>
      </c>
      <c r="E39" s="7"/>
      <c r="F39" s="7"/>
    </row>
    <row r="40" ht="27.6" customHeight="1" spans="1:6">
      <c r="A40" s="5" t="s">
        <v>48</v>
      </c>
      <c r="B40" s="22">
        <f>SUM(B38:B39)</f>
        <v>5193.211</v>
      </c>
      <c r="C40" s="7"/>
      <c r="D40" s="5"/>
      <c r="E40" s="7"/>
      <c r="F40" s="7"/>
    </row>
    <row r="41" ht="27.6" customHeight="1" spans="1:6">
      <c r="A41" s="5" t="s">
        <v>49</v>
      </c>
      <c r="B41" s="22">
        <f>B40/0.15</f>
        <v>34621.4066666667</v>
      </c>
      <c r="C41" s="7"/>
      <c r="D41" s="5" t="s">
        <v>50</v>
      </c>
      <c r="E41" s="7"/>
      <c r="F41" s="7"/>
    </row>
    <row r="42" ht="27.6" customHeight="1" spans="1:6">
      <c r="A42" s="5" t="s">
        <v>51</v>
      </c>
      <c r="B42" s="22">
        <f>B41/0.2</f>
        <v>173107.033333333</v>
      </c>
      <c r="C42" s="7"/>
      <c r="D42" s="5" t="s">
        <v>52</v>
      </c>
      <c r="E42" s="7"/>
      <c r="F42" s="7"/>
    </row>
    <row r="43" ht="27.6" customHeight="1" spans="1:6">
      <c r="A43" s="5" t="s">
        <v>53</v>
      </c>
      <c r="B43" s="6">
        <v>352.61289453354</v>
      </c>
      <c r="C43" s="6"/>
      <c r="D43" s="5"/>
      <c r="E43" s="7"/>
      <c r="F43" s="7"/>
    </row>
    <row r="44" ht="27.6" customHeight="1" spans="1:6">
      <c r="A44" s="18"/>
      <c r="B44" s="23"/>
      <c r="C44" s="7"/>
      <c r="D44" s="5"/>
      <c r="E44" s="7"/>
      <c r="F44" s="7"/>
    </row>
    <row r="45" ht="27.6" customHeight="1" spans="1:6">
      <c r="A45" s="14" t="s">
        <v>54</v>
      </c>
      <c r="B45" s="20">
        <f>B31*B42</f>
        <v>61039772.0877806</v>
      </c>
      <c r="C45" s="21"/>
      <c r="D45" s="14" t="s">
        <v>55</v>
      </c>
      <c r="E45" s="7"/>
      <c r="F45" s="7"/>
    </row>
    <row r="46" ht="27.6" customHeight="1" spans="1:6">
      <c r="A46" s="5" t="str">
        <f>A25</f>
        <v>Restricted waste generators (willingness to pay higher price to not incinerate (essentially DoD because they can't)</v>
      </c>
      <c r="B46" s="24">
        <f>B25</f>
        <v>0.2</v>
      </c>
      <c r="C46" s="7"/>
      <c r="D46" s="5" t="s">
        <v>13</v>
      </c>
      <c r="E46" s="7"/>
      <c r="F46" s="7"/>
    </row>
    <row r="47" ht="27.6" customHeight="1" spans="1:6">
      <c r="A47" s="14" t="s">
        <v>56</v>
      </c>
      <c r="B47" s="20">
        <f>B45/B46</f>
        <v>305198860.438903</v>
      </c>
      <c r="C47" s="21"/>
      <c r="D47" s="14" t="s">
        <v>57</v>
      </c>
      <c r="E47" s="7"/>
      <c r="F47" s="7"/>
    </row>
    <row r="48" ht="27.6" customHeight="1" spans="1:6">
      <c r="A48" s="5" t="str">
        <f>A23</f>
        <v>Percentage of incineration+landfilling services that is replaceable by SCWO</v>
      </c>
      <c r="B48" s="24">
        <f>B23</f>
        <v>0.33</v>
      </c>
      <c r="C48" s="7"/>
      <c r="D48" s="5" t="str">
        <f>D23</f>
        <v>Internal Estimate. Near-term target for SCWO wastes are liquid concentrates and grindable solids.Soils not included. Biosolids can be processed by SCWO, but we are not currently including this in our market analysis because of the large volume. Target is on-site, low-to-mid volume generators, where SCWO offers smaller footprint for on-site destruction. Focus on liquid concentrates and spent sorption media. </v>
      </c>
      <c r="E48" s="7"/>
      <c r="F48" s="7"/>
    </row>
    <row r="49" ht="27.6" customHeight="1" spans="1:6">
      <c r="A49" s="14" t="s">
        <v>58</v>
      </c>
      <c r="B49" s="20">
        <f>B47/B48</f>
        <v>924845031.63304</v>
      </c>
      <c r="C49" s="21"/>
      <c r="D49" s="14" t="s">
        <v>59</v>
      </c>
      <c r="E49" s="7"/>
      <c r="F49" s="7"/>
    </row>
    <row r="50" ht="27.6" customHeight="1" spans="1:6">
      <c r="A50" s="5" t="s">
        <v>24</v>
      </c>
      <c r="B50" s="24">
        <v>0.09</v>
      </c>
      <c r="C50" s="7"/>
      <c r="D50" s="10" t="s">
        <v>25</v>
      </c>
      <c r="E50" s="7"/>
      <c r="F50" s="7"/>
    </row>
    <row r="51" ht="27.6" customHeight="1" spans="1:6">
      <c r="A51" s="14" t="s">
        <v>60</v>
      </c>
      <c r="B51" s="20">
        <f>B49/B50</f>
        <v>10276055907.0338</v>
      </c>
      <c r="C51" s="21"/>
      <c r="D51" s="14" t="s">
        <v>61</v>
      </c>
      <c r="E51" s="7"/>
      <c r="F51" s="7"/>
    </row>
    <row r="52" ht="27.6" customHeight="1" spans="1:6">
      <c r="A52" s="5"/>
      <c r="B52" s="7"/>
      <c r="C52" s="7"/>
      <c r="D52" s="5"/>
      <c r="E52" s="7"/>
      <c r="F52" s="7"/>
    </row>
    <row r="53" ht="27.6" customHeight="1" spans="1:6">
      <c r="A53" s="5" t="s">
        <v>62</v>
      </c>
      <c r="B53" s="7"/>
      <c r="C53" s="7"/>
      <c r="D53" s="5"/>
      <c r="E53" s="7"/>
      <c r="F53" s="7"/>
    </row>
    <row r="54" ht="27.6" customHeight="1" spans="1:6">
      <c r="A54" s="5" t="s">
        <v>63</v>
      </c>
      <c r="B54" s="25">
        <f>200000000000</f>
        <v>200000000000</v>
      </c>
      <c r="C54" s="7"/>
      <c r="D54" s="5" t="s">
        <v>31</v>
      </c>
      <c r="E54" s="7"/>
      <c r="F54" s="7"/>
    </row>
    <row r="55" ht="36.6" customHeight="1" spans="1:6">
      <c r="A55" s="5" t="s">
        <v>64</v>
      </c>
      <c r="B55" s="26">
        <f>B49/B54</f>
        <v>0.0046242251581652</v>
      </c>
      <c r="C55" s="7"/>
      <c r="D55" s="5"/>
      <c r="E55" s="7"/>
      <c r="F55" s="7"/>
    </row>
    <row r="56" ht="27.6" customHeight="1"/>
  </sheetData>
  <mergeCells count="1">
    <mergeCell ref="A1:D1"/>
  </mergeCells>
  <hyperlinks>
    <hyperlink ref="D21" r:id="rId1" display="https://www.statista.com/statistics/1392870/global-market-value-of-pfas-waste-management/"/>
    <hyperlink ref="D7" r:id="rId2" display="https://www.maximizemarketresearch.com/market-report/polyfluoroalkyl-substances-pfas-waste-management-market/258824/"/>
    <hyperlink ref="D36" r:id="rId3" display="https://www.afcec.af.mil/Portals/17/documents/Environment/Emerging%20contaminants/DAF%20PFAS%20Snapshot-May%202024_FINAL.pdf?ver=2NQOwQBrbdMHZfGtPe3hMQ%3d%3d"/>
    <hyperlink ref="D50" r:id="rId1" display="https://www.statista.com/statistics/1392870/global-market-value-of-pfas-waste-management/"/>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1A81547-5BA5-490D-92A8-E26C2DAFDC3A}">
  <ds:schemaRefs/>
</ds:datastoreItem>
</file>

<file path=customXml/itemProps2.xml><?xml version="1.0" encoding="utf-8"?>
<ds:datastoreItem xmlns:ds="http://schemas.openxmlformats.org/officeDocument/2006/customXml" ds:itemID="{2FA460BB-A5CB-4C68-95B6-ECDC6422CA7C}">
  <ds:schemaRefs/>
</ds:datastoreItem>
</file>

<file path=customXml/itemProps3.xml><?xml version="1.0" encoding="utf-8"?>
<ds:datastoreItem xmlns:ds="http://schemas.openxmlformats.org/officeDocument/2006/customXml" ds:itemID="{8793788C-6C8F-4D53-BC08-1FBC35400CDF}">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Wells Carpenter</dc:creator>
  <cp:lastModifiedBy>LiuJinkang</cp:lastModifiedBy>
  <dcterms:created xsi:type="dcterms:W3CDTF">2025-08-28T14:03:00Z</dcterms:created>
  <dcterms:modified xsi:type="dcterms:W3CDTF">2026-02-03T18:04:22Z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0x010100A2556D318E681C408A88725D93ADAB63</vt:lpwstr>
  </property>
  <property fmtid="{D5CDD505-2E9C-101B-9397-08002B2CF9AE}" pid="4" name="ICV">
    <vt:lpwstr>DC66911ECC6A5BB9F67E8269237D53F7_42</vt:lpwstr>
  </property>
  <property fmtid="{D5CDD505-2E9C-101B-9397-08002B2CF9AE}" pid="5" name="KSOProductBuildVer">
    <vt:lpwstr>1033-12.1.23155.23155</vt:lpwstr>
  </property>
</Properties>
</file>